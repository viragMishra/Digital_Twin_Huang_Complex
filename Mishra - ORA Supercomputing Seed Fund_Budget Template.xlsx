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mishravi_oregonstate_edu/Documents/Documents/OSU-Project/Digital_Twin_Huang_Complex/"/>
    </mc:Choice>
  </mc:AlternateContent>
  <xr:revisionPtr revIDLastSave="9" documentId="13_ncr:1_{703C8D42-CB4C-499D-BFCA-5D96B55893C8}" xr6:coauthVersionLast="47" xr6:coauthVersionMax="47" xr10:uidLastSave="{4E38E260-4E09-4622-A18E-ED2A47D2993B}"/>
  <bookViews>
    <workbookView xWindow="-28920" yWindow="-120" windowWidth="29040" windowHeight="15720" xr2:uid="{00000000-000D-0000-FFFF-FFFF00000000}"/>
  </bookViews>
  <sheets>
    <sheet name="BUDGET TEMPLATE" sheetId="1" r:id="rId1"/>
    <sheet name="Unit 1 Match" sheetId="2" state="hidden" r:id="rId2"/>
    <sheet name="Reference" sheetId="5" state="hidden" r:id="rId3"/>
    <sheet name="Unit 2 Match" sheetId="3" state="hidden" r:id="rId4"/>
    <sheet name="Unit 3 Match" sheetId="4" state="hidden" r:id="rId5"/>
  </sheets>
  <definedNames>
    <definedName name="_xlnm.Print_Area" localSheetId="0">'BUDGET TEMPLATE'!$A$1:$G$39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A7" i="1"/>
  <c r="F18" i="1" l="1"/>
  <c r="E18" i="1"/>
  <c r="G7" i="1"/>
  <c r="B11" i="2"/>
  <c r="D15" i="2"/>
  <c r="D16" i="2"/>
  <c r="D17" i="2"/>
  <c r="D18" i="2"/>
  <c r="C48" i="2"/>
  <c r="D48" i="2"/>
  <c r="E5" i="2"/>
  <c r="B5" i="2"/>
  <c r="E4" i="2"/>
  <c r="G13" i="1"/>
  <c r="G16" i="1"/>
  <c r="G11" i="1"/>
  <c r="G12" i="1"/>
  <c r="G14" i="1"/>
  <c r="G15" i="1"/>
  <c r="C14" i="2"/>
  <c r="C19" i="2" s="1"/>
  <c r="C1" i="2"/>
  <c r="G10" i="1"/>
  <c r="G17" i="1"/>
  <c r="B4" i="2"/>
  <c r="E23" i="2"/>
  <c r="G18" i="1" l="1"/>
  <c r="G35" i="1" s="1"/>
  <c r="D14" i="2"/>
  <c r="D19" i="2" s="1"/>
  <c r="B10" i="2" s="1"/>
  <c r="D25" i="2"/>
  <c r="D26" i="2"/>
  <c r="D28" i="2"/>
  <c r="D29" i="2"/>
  <c r="D30" i="2"/>
  <c r="D31" i="2"/>
  <c r="D33" i="2"/>
  <c r="D34" i="2"/>
  <c r="D36" i="2"/>
  <c r="D24" i="2"/>
  <c r="D22" i="2"/>
  <c r="D23" i="2"/>
  <c r="D32" i="2"/>
  <c r="D27" i="2"/>
  <c r="D35" i="2"/>
  <c r="D50" i="2"/>
  <c r="D8" i="2"/>
  <c r="B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Kelchner, Cyndy</author>
  </authors>
  <commentList>
    <comment ref="C22" authorId="0" shapeId="0" xr:uid="{F67CB6E1-D72D-4D1C-A63E-87C5F088622F}">
      <text>
        <r>
          <rPr>
            <b/>
            <sz val="9"/>
            <color indexed="81"/>
            <rFont val="Tahoma"/>
            <family val="2"/>
          </rPr>
          <t>Kelchner, Cyndy:</t>
        </r>
        <r>
          <rPr>
            <sz val="9"/>
            <color indexed="81"/>
            <rFont val="Tahoma"/>
            <family val="2"/>
          </rPr>
          <t xml:space="preserve">
Offset calculation assumptions for AY months: 
* Co-PIs are 14 rows apart on the Senior Personnel tab.</t>
        </r>
      </text>
    </comment>
  </commentList>
</comments>
</file>

<file path=xl/sharedStrings.xml><?xml version="1.0" encoding="utf-8"?>
<sst xmlns="http://schemas.openxmlformats.org/spreadsheetml/2006/main" count="91" uniqueCount="75">
  <si>
    <t xml:space="preserve">Principal Investigator: </t>
  </si>
  <si>
    <t>Start date:</t>
  </si>
  <si>
    <t>End date:</t>
  </si>
  <si>
    <t>Division of Research and Innovation</t>
  </si>
  <si>
    <t>PERSONNEL*</t>
  </si>
  <si>
    <t>DOLLAR AMOUNT REQUESTED</t>
  </si>
  <si>
    <t>NAME</t>
  </si>
  <si>
    <t>ROLE ON PROJECT</t>
  </si>
  <si>
    <t>MONTHLY SALARY</t>
  </si>
  <si>
    <t>MONTHS EFFORT</t>
  </si>
  <si>
    <t>SALARY REQUESTED</t>
  </si>
  <si>
    <t>FRINGE BENEFITS</t>
  </si>
  <si>
    <t>PI</t>
  </si>
  <si>
    <t xml:space="preserve">                                        SUBTOTALS                   ----------&gt;</t>
  </si>
  <si>
    <r>
      <rPr>
        <b/>
        <sz val="11"/>
        <color theme="1"/>
        <rFont val="Calibri"/>
        <family val="2"/>
        <scheme val="minor"/>
      </rPr>
      <t>MATERIALS &amp; SUPPLIES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(Itemize and add lines if needed)</t>
    </r>
  </si>
  <si>
    <r>
      <t xml:space="preserve">TRAVEL </t>
    </r>
    <r>
      <rPr>
        <i/>
        <sz val="11"/>
        <color theme="1"/>
        <rFont val="Calibri"/>
        <family val="2"/>
        <scheme val="minor"/>
      </rPr>
      <t>(Add lines if needed)</t>
    </r>
  </si>
  <si>
    <r>
      <t xml:space="preserve">OTHER EXPENSES </t>
    </r>
    <r>
      <rPr>
        <i/>
        <sz val="11"/>
        <color theme="1"/>
        <rFont val="Calibri"/>
        <family val="2"/>
        <scheme val="minor"/>
      </rPr>
      <t>(Itemize)</t>
    </r>
  </si>
  <si>
    <t>Professional Services</t>
  </si>
  <si>
    <t xml:space="preserve">Honoraria </t>
  </si>
  <si>
    <t>Tuition</t>
  </si>
  <si>
    <t>User Fees</t>
  </si>
  <si>
    <t>Hosting</t>
  </si>
  <si>
    <t xml:space="preserve">Publications </t>
  </si>
  <si>
    <t>Capital equipment, subawards, indirect costs not allowed.  Costs that should be supported by F&amp;A (e.g., photocopying, non-project specific computers, administrative support below 0.2 annual FTE, etc.  are also not allowed.)</t>
  </si>
  <si>
    <t>Cost Share Details by Unit:</t>
  </si>
  <si>
    <t>Proposal Information</t>
  </si>
  <si>
    <t>Lead PI:</t>
  </si>
  <si>
    <t>Start Date:</t>
  </si>
  <si>
    <t>Cost Share Unit:</t>
  </si>
  <si>
    <t>End Date:</t>
  </si>
  <si>
    <t>Pre-award Staff:</t>
  </si>
  <si>
    <t>Cost Sharing Summary for Unit:</t>
  </si>
  <si>
    <t>Total Cost Share</t>
  </si>
  <si>
    <t>Source details if known</t>
  </si>
  <si>
    <t>Discretionary funds</t>
  </si>
  <si>
    <t>Funding that relies on cash contribution from the College or Unit</t>
  </si>
  <si>
    <t>Other</t>
  </si>
  <si>
    <t>Please justify</t>
  </si>
  <si>
    <t>Discretionary Funds (New $)</t>
  </si>
  <si>
    <t>YEAR 1</t>
  </si>
  <si>
    <t>TOTAL</t>
  </si>
  <si>
    <t>Course Buyout</t>
  </si>
  <si>
    <t>Salary</t>
  </si>
  <si>
    <t>Is a course buyout proposed?</t>
  </si>
  <si>
    <t>No</t>
  </si>
  <si>
    <t>Fringe benefits</t>
  </si>
  <si>
    <t>Travel</t>
  </si>
  <si>
    <t>Course buyouts are not approved via this process.</t>
  </si>
  <si>
    <t>However, requests for academic year salary for faculty</t>
  </si>
  <si>
    <t>will not be granted without School Director approval.</t>
  </si>
  <si>
    <t>Total Discretionary Funds</t>
  </si>
  <si>
    <t>Academic Year Months for Senior Personnel in Unit:</t>
  </si>
  <si>
    <t>PERSONNEL</t>
  </si>
  <si>
    <t>Unit</t>
  </si>
  <si>
    <t>Total AY Months for Unit</t>
  </si>
  <si>
    <t>Total Waived Costs</t>
  </si>
  <si>
    <t>Approval from Unit Head</t>
  </si>
  <si>
    <t>Name</t>
  </si>
  <si>
    <t>Signature</t>
  </si>
  <si>
    <t>Title</t>
  </si>
  <si>
    <t>Date</t>
  </si>
  <si>
    <t>Course buyout</t>
  </si>
  <si>
    <t>Yes</t>
  </si>
  <si>
    <t xml:space="preserve">TOTAL </t>
  </si>
  <si>
    <t>Huang Complex Supercomputing Seed Fund</t>
  </si>
  <si>
    <t xml:space="preserve">* Please enter Academic Year and Summer Effort on Separate Lines for PIs on 9 month appointments. </t>
  </si>
  <si>
    <t>Virag Mishra</t>
  </si>
  <si>
    <t>Joe Piacenza</t>
  </si>
  <si>
    <t>co-PI</t>
  </si>
  <si>
    <t>-</t>
  </si>
  <si>
    <t>TBD</t>
  </si>
  <si>
    <t>FRA</t>
  </si>
  <si>
    <t>BD Conference</t>
  </si>
  <si>
    <t>Ted Brekken</t>
  </si>
  <si>
    <t>Bryson Robertson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</si>
</sst>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&quot;$&quot;* #,##0_);_(&quot;$&quot;* \(#,##0\);_(&quot;$&quot;* &quot;-&quot;??_);_(@_)"/>
    <numFmt numFmtId="166" formatCode="m/d/yy;@"/>
    <numFmt numFmtId="167" formatCode="&quot;$&quot;#,##0"/>
    <numFmt numFmtId="168" formatCode="_(* #,##0.0_);_(* \(#,##0.0\);_(* &quot;-&quot;?_);_(@_)"/>
    <numFmt numFmtId="169" formatCode="_(* #,##0.00_);_(* \(#,##0.00\);_(* &quot;-&quot;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9C57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2" borderId="0" applyNumberFormat="0" applyBorder="0" applyAlignment="0" applyProtection="0"/>
  </cellStyleXfs>
  <cellXfs count="171">
    <xf numFmtId="0" fontId="0" fillId="0" borderId="0" xfId="0"/>
    <xf numFmtId="0" fontId="0" fillId="0" borderId="4" xfId="0" applyBorder="1"/>
    <xf numFmtId="0" fontId="5" fillId="0" borderId="10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6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1" fillId="6" borderId="0" xfId="0" applyFont="1" applyFill="1" applyAlignment="1">
      <alignment horizontal="left"/>
    </xf>
    <xf numFmtId="0" fontId="12" fillId="6" borderId="0" xfId="0" applyFont="1" applyFill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166" fontId="15" fillId="0" borderId="0" xfId="0" applyNumberFormat="1" applyFont="1" applyAlignment="1">
      <alignment horizontal="left"/>
    </xf>
    <xf numFmtId="0" fontId="18" fillId="0" borderId="0" xfId="0" applyFont="1"/>
    <xf numFmtId="0" fontId="16" fillId="3" borderId="0" xfId="0" applyFont="1" applyFill="1" applyAlignment="1">
      <alignment horizontal="right"/>
    </xf>
    <xf numFmtId="0" fontId="15" fillId="3" borderId="0" xfId="0" applyFont="1" applyFill="1" applyAlignment="1">
      <alignment horizontal="left"/>
    </xf>
    <xf numFmtId="0" fontId="16" fillId="3" borderId="0" xfId="0" applyFont="1" applyFill="1"/>
    <xf numFmtId="49" fontId="15" fillId="0" borderId="0" xfId="0" applyNumberFormat="1" applyFont="1"/>
    <xf numFmtId="2" fontId="0" fillId="0" borderId="0" xfId="0" applyNumberFormat="1"/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167" fontId="20" fillId="0" borderId="0" xfId="0" applyNumberFormat="1" applyFont="1"/>
    <xf numFmtId="0" fontId="0" fillId="0" borderId="8" xfId="0" applyBorder="1"/>
    <xf numFmtId="0" fontId="14" fillId="0" borderId="0" xfId="0" applyFont="1" applyAlignment="1">
      <alignment horizontal="left" indent="2"/>
    </xf>
    <xf numFmtId="167" fontId="14" fillId="0" borderId="0" xfId="0" applyNumberFormat="1" applyFont="1"/>
    <xf numFmtId="0" fontId="21" fillId="0" borderId="0" xfId="0" applyFont="1"/>
    <xf numFmtId="167" fontId="13" fillId="0" borderId="0" xfId="0" applyNumberFormat="1" applyFont="1"/>
    <xf numFmtId="167" fontId="16" fillId="0" borderId="0" xfId="0" applyNumberFormat="1" applyFont="1"/>
    <xf numFmtId="167" fontId="15" fillId="0" borderId="0" xfId="0" applyNumberFormat="1" applyFont="1"/>
    <xf numFmtId="0" fontId="15" fillId="0" borderId="4" xfId="0" applyFont="1" applyBorder="1"/>
    <xf numFmtId="167" fontId="15" fillId="0" borderId="4" xfId="0" applyNumberFormat="1" applyFont="1" applyBorder="1"/>
    <xf numFmtId="0" fontId="15" fillId="0" borderId="0" xfId="0" applyFont="1" applyAlignment="1">
      <alignment horizontal="right"/>
    </xf>
    <xf numFmtId="0" fontId="0" fillId="0" borderId="0" xfId="0" applyAlignment="1">
      <alignment horizontal="left"/>
    </xf>
    <xf numFmtId="2" fontId="22" fillId="0" borderId="4" xfId="0" applyNumberFormat="1" applyFont="1" applyBorder="1" applyAlignment="1">
      <alignment horizontal="right"/>
    </xf>
    <xf numFmtId="2" fontId="22" fillId="0" borderId="4" xfId="0" applyNumberFormat="1" applyFont="1" applyBorder="1"/>
    <xf numFmtId="2" fontId="22" fillId="0" borderId="0" xfId="0" applyNumberFormat="1" applyFont="1" applyAlignment="1">
      <alignment horizontal="right"/>
    </xf>
    <xf numFmtId="2" fontId="22" fillId="0" borderId="0" xfId="0" applyNumberFormat="1" applyFont="1"/>
    <xf numFmtId="0" fontId="20" fillId="0" borderId="0" xfId="0" applyFont="1"/>
    <xf numFmtId="0" fontId="24" fillId="0" borderId="0" xfId="0" applyFont="1"/>
    <xf numFmtId="0" fontId="25" fillId="4" borderId="16" xfId="0" applyFont="1" applyFill="1" applyBorder="1" applyAlignment="1">
      <alignment horizontal="centerContinuous" vertical="center" wrapText="1"/>
    </xf>
    <xf numFmtId="0" fontId="22" fillId="4" borderId="17" xfId="0" applyFont="1" applyFill="1" applyBorder="1" applyAlignment="1">
      <alignment horizontal="centerContinuous" vertical="center" wrapText="1"/>
    </xf>
    <xf numFmtId="0" fontId="0" fillId="4" borderId="17" xfId="0" applyFill="1" applyBorder="1" applyAlignment="1">
      <alignment horizontal="centerContinuous" vertical="center" wrapText="1"/>
    </xf>
    <xf numFmtId="0" fontId="15" fillId="5" borderId="19" xfId="0" applyFont="1" applyFill="1" applyBorder="1"/>
    <xf numFmtId="0" fontId="15" fillId="5" borderId="8" xfId="0" applyFont="1" applyFill="1" applyBorder="1"/>
    <xf numFmtId="0" fontId="15" fillId="5" borderId="14" xfId="0" applyFont="1" applyFill="1" applyBorder="1" applyAlignment="1">
      <alignment horizontal="left"/>
    </xf>
    <xf numFmtId="0" fontId="0" fillId="0" borderId="23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17" fillId="8" borderId="0" xfId="0" applyFont="1" applyFill="1" applyAlignment="1">
      <alignment vertical="center"/>
    </xf>
    <xf numFmtId="0" fontId="12" fillId="8" borderId="0" xfId="0" applyFont="1" applyFill="1"/>
    <xf numFmtId="0" fontId="17" fillId="8" borderId="0" xfId="0" applyFont="1" applyFill="1"/>
    <xf numFmtId="0" fontId="12" fillId="8" borderId="0" xfId="0" applyFont="1" applyFill="1" applyAlignment="1">
      <alignment vertical="center"/>
    </xf>
    <xf numFmtId="0" fontId="19" fillId="8" borderId="0" xfId="0" applyFont="1" applyFill="1" applyAlignment="1">
      <alignment vertical="center"/>
    </xf>
    <xf numFmtId="0" fontId="17" fillId="8" borderId="0" xfId="0" applyFont="1" applyFill="1" applyAlignment="1">
      <alignment horizontal="right" vertical="center"/>
    </xf>
    <xf numFmtId="0" fontId="12" fillId="9" borderId="0" xfId="0" applyFont="1" applyFill="1" applyAlignment="1">
      <alignment vertical="center"/>
    </xf>
    <xf numFmtId="167" fontId="15" fillId="9" borderId="4" xfId="0" applyNumberFormat="1" applyFont="1" applyFill="1" applyBorder="1"/>
    <xf numFmtId="0" fontId="29" fillId="8" borderId="0" xfId="0" applyFont="1" applyFill="1" applyAlignment="1">
      <alignment vertical="center"/>
    </xf>
    <xf numFmtId="0" fontId="16" fillId="7" borderId="0" xfId="0" applyFont="1" applyFill="1" applyAlignment="1">
      <alignment horizontal="right"/>
    </xf>
    <xf numFmtId="0" fontId="26" fillId="8" borderId="20" xfId="0" applyFont="1" applyFill="1" applyBorder="1"/>
    <xf numFmtId="0" fontId="26" fillId="8" borderId="15" xfId="0" applyFont="1" applyFill="1" applyBorder="1"/>
    <xf numFmtId="0" fontId="30" fillId="8" borderId="15" xfId="0" applyFont="1" applyFill="1" applyBorder="1"/>
    <xf numFmtId="0" fontId="27" fillId="8" borderId="15" xfId="0" applyFont="1" applyFill="1" applyBorder="1"/>
    <xf numFmtId="0" fontId="26" fillId="8" borderId="21" xfId="0" applyFont="1" applyFill="1" applyBorder="1"/>
    <xf numFmtId="0" fontId="7" fillId="8" borderId="0" xfId="0" applyFont="1" applyFill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10" fillId="7" borderId="7" xfId="2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2" fillId="0" borderId="15" xfId="0" applyFont="1" applyBorder="1"/>
    <xf numFmtId="0" fontId="4" fillId="0" borderId="19" xfId="0" applyFont="1" applyBorder="1" applyAlignment="1">
      <alignment horizontal="center"/>
    </xf>
    <xf numFmtId="44" fontId="0" fillId="7" borderId="2" xfId="1" applyFont="1" applyFill="1" applyBorder="1"/>
    <xf numFmtId="44" fontId="0" fillId="7" borderId="1" xfId="1" applyFont="1" applyFill="1" applyBorder="1"/>
    <xf numFmtId="0" fontId="31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0" fillId="0" borderId="2" xfId="0" applyBorder="1" applyAlignment="1">
      <alignment wrapText="1"/>
    </xf>
    <xf numFmtId="0" fontId="2" fillId="0" borderId="15" xfId="0" applyFont="1" applyBorder="1" applyAlignment="1">
      <alignment horizontal="centerContinuous"/>
    </xf>
    <xf numFmtId="44" fontId="0" fillId="7" borderId="28" xfId="1" applyFont="1" applyFill="1" applyBorder="1"/>
    <xf numFmtId="0" fontId="4" fillId="7" borderId="2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4" fontId="6" fillId="7" borderId="26" xfId="2" applyNumberForma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4" fillId="0" borderId="20" xfId="0" applyFont="1" applyBorder="1"/>
    <xf numFmtId="0" fontId="0" fillId="0" borderId="15" xfId="0" applyBorder="1" applyAlignment="1">
      <alignment horizontal="right"/>
    </xf>
    <xf numFmtId="0" fontId="0" fillId="0" borderId="15" xfId="0" applyBorder="1"/>
    <xf numFmtId="0" fontId="0" fillId="0" borderId="21" xfId="0" applyBorder="1"/>
    <xf numFmtId="0" fontId="34" fillId="0" borderId="30" xfId="0" applyFont="1" applyBorder="1"/>
    <xf numFmtId="0" fontId="0" fillId="0" borderId="24" xfId="0" applyBorder="1"/>
    <xf numFmtId="0" fontId="34" fillId="0" borderId="11" xfId="0" applyFont="1" applyBorder="1"/>
    <xf numFmtId="0" fontId="0" fillId="0" borderId="23" xfId="0" applyBorder="1" applyAlignment="1">
      <alignment horizontal="right"/>
    </xf>
    <xf numFmtId="0" fontId="0" fillId="0" borderId="23" xfId="0" applyBorder="1"/>
    <xf numFmtId="0" fontId="0" fillId="0" borderId="18" xfId="0" applyBorder="1"/>
    <xf numFmtId="0" fontId="7" fillId="11" borderId="20" xfId="0" applyFont="1" applyFill="1" applyBorder="1"/>
    <xf numFmtId="167" fontId="33" fillId="11" borderId="15" xfId="0" applyNumberFormat="1" applyFont="1" applyFill="1" applyBorder="1"/>
    <xf numFmtId="0" fontId="7" fillId="11" borderId="15" xfId="0" applyFont="1" applyFill="1" applyBorder="1"/>
    <xf numFmtId="0" fontId="7" fillId="11" borderId="21" xfId="0" applyFont="1" applyFill="1" applyBorder="1"/>
    <xf numFmtId="0" fontId="0" fillId="0" borderId="30" xfId="0" applyBorder="1"/>
    <xf numFmtId="0" fontId="23" fillId="0" borderId="0" xfId="0" applyFont="1" applyAlignment="1">
      <alignment horizontal="left"/>
    </xf>
    <xf numFmtId="0" fontId="25" fillId="0" borderId="0" xfId="0" applyFont="1" applyAlignment="1">
      <alignment horizontal="centerContinuous" vertical="center" wrapText="1"/>
    </xf>
    <xf numFmtId="0" fontId="22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 vertical="center" wrapText="1"/>
    </xf>
    <xf numFmtId="0" fontId="2" fillId="0" borderId="24" xfId="0" applyFont="1" applyBorder="1"/>
    <xf numFmtId="0" fontId="2" fillId="0" borderId="15" xfId="0" applyFont="1" applyBorder="1" applyAlignment="1">
      <alignment horizontal="centerContinuous" wrapText="1"/>
    </xf>
    <xf numFmtId="0" fontId="4" fillId="0" borderId="35" xfId="0" applyFont="1" applyBorder="1" applyAlignment="1">
      <alignment horizontal="center"/>
    </xf>
    <xf numFmtId="0" fontId="5" fillId="0" borderId="14" xfId="0" applyFont="1" applyBorder="1" applyAlignment="1">
      <alignment horizontal="center" wrapText="1"/>
    </xf>
    <xf numFmtId="0" fontId="0" fillId="0" borderId="19" xfId="0" applyBorder="1"/>
    <xf numFmtId="0" fontId="0" fillId="0" borderId="22" xfId="0" applyBorder="1"/>
    <xf numFmtId="0" fontId="0" fillId="0" borderId="13" xfId="0" applyBorder="1"/>
    <xf numFmtId="0" fontId="0" fillId="0" borderId="31" xfId="0" applyBorder="1" applyAlignment="1">
      <alignment horizontal="center" wrapText="1"/>
    </xf>
    <xf numFmtId="14" fontId="6" fillId="7" borderId="29" xfId="2" applyNumberFormat="1" applyFill="1" applyBorder="1" applyAlignment="1">
      <alignment horizontal="center"/>
    </xf>
    <xf numFmtId="0" fontId="2" fillId="0" borderId="20" xfId="0" applyFont="1" applyBorder="1"/>
    <xf numFmtId="37" fontId="35" fillId="0" borderId="0" xfId="0" applyNumberFormat="1" applyFont="1"/>
    <xf numFmtId="0" fontId="2" fillId="0" borderId="7" xfId="0" applyFont="1" applyBorder="1"/>
    <xf numFmtId="0" fontId="4" fillId="7" borderId="22" xfId="0" applyFont="1" applyFill="1" applyBorder="1" applyAlignment="1">
      <alignment horizontal="left"/>
    </xf>
    <xf numFmtId="0" fontId="10" fillId="7" borderId="22" xfId="2" applyFont="1" applyFill="1" applyBorder="1" applyAlignment="1">
      <alignment horizontal="left"/>
    </xf>
    <xf numFmtId="0" fontId="2" fillId="0" borderId="30" xfId="0" applyFont="1" applyBorder="1"/>
    <xf numFmtId="42" fontId="2" fillId="0" borderId="15" xfId="0" applyNumberFormat="1" applyFont="1" applyBorder="1"/>
    <xf numFmtId="42" fontId="2" fillId="0" borderId="7" xfId="0" applyNumberFormat="1" applyFont="1" applyBorder="1"/>
    <xf numFmtId="0" fontId="0" fillId="7" borderId="6" xfId="0" applyFill="1" applyBorder="1"/>
    <xf numFmtId="44" fontId="0" fillId="7" borderId="26" xfId="1" applyFont="1" applyFill="1" applyBorder="1"/>
    <xf numFmtId="168" fontId="0" fillId="7" borderId="6" xfId="1" applyNumberFormat="1" applyFont="1" applyFill="1" applyBorder="1"/>
    <xf numFmtId="0" fontId="0" fillId="7" borderId="27" xfId="0" applyFill="1" applyBorder="1"/>
    <xf numFmtId="44" fontId="0" fillId="7" borderId="29" xfId="1" applyFont="1" applyFill="1" applyBorder="1"/>
    <xf numFmtId="168" fontId="0" fillId="7" borderId="27" xfId="1" applyNumberFormat="1" applyFont="1" applyFill="1" applyBorder="1"/>
    <xf numFmtId="164" fontId="0" fillId="0" borderId="23" xfId="0" applyNumberFormat="1" applyBorder="1"/>
    <xf numFmtId="0" fontId="0" fillId="0" borderId="20" xfId="0" applyBorder="1"/>
    <xf numFmtId="0" fontId="0" fillId="10" borderId="20" xfId="0" applyFill="1" applyBorder="1"/>
    <xf numFmtId="0" fontId="0" fillId="0" borderId="15" xfId="0" applyBorder="1" applyAlignment="1">
      <alignment horizontal="center"/>
    </xf>
    <xf numFmtId="0" fontId="0" fillId="10" borderId="11" xfId="0" applyFill="1" applyBorder="1"/>
    <xf numFmtId="0" fontId="0" fillId="0" borderId="23" xfId="0" applyBorder="1" applyAlignment="1">
      <alignment horizontal="center"/>
    </xf>
    <xf numFmtId="0" fontId="0" fillId="10" borderId="15" xfId="0" applyFill="1" applyBorder="1"/>
    <xf numFmtId="0" fontId="0" fillId="10" borderId="21" xfId="0" applyFill="1" applyBorder="1"/>
    <xf numFmtId="0" fontId="0" fillId="10" borderId="30" xfId="0" applyFill="1" applyBorder="1"/>
    <xf numFmtId="0" fontId="0" fillId="10" borderId="0" xfId="0" applyFill="1"/>
    <xf numFmtId="0" fontId="0" fillId="10" borderId="24" xfId="0" applyFill="1" applyBorder="1"/>
    <xf numFmtId="0" fontId="0" fillId="0" borderId="0" xfId="0" applyAlignment="1">
      <alignment horizontal="center"/>
    </xf>
    <xf numFmtId="0" fontId="0" fillId="0" borderId="11" xfId="0" applyBorder="1"/>
    <xf numFmtId="42" fontId="0" fillId="0" borderId="0" xfId="0" applyNumberFormat="1" applyAlignment="1">
      <alignment horizontal="center"/>
    </xf>
    <xf numFmtId="42" fontId="0" fillId="0" borderId="23" xfId="0" applyNumberFormat="1" applyBorder="1" applyAlignment="1">
      <alignment horizontal="center"/>
    </xf>
    <xf numFmtId="0" fontId="37" fillId="0" borderId="0" xfId="0" applyFont="1"/>
    <xf numFmtId="0" fontId="36" fillId="0" borderId="22" xfId="0" applyFont="1" applyBorder="1"/>
    <xf numFmtId="0" fontId="36" fillId="0" borderId="7" xfId="0" applyFont="1" applyBorder="1"/>
    <xf numFmtId="0" fontId="36" fillId="0" borderId="9" xfId="0" applyFont="1" applyBorder="1"/>
    <xf numFmtId="0" fontId="36" fillId="0" borderId="7" xfId="0" applyFont="1" applyBorder="1" applyAlignment="1">
      <alignment horizontal="center"/>
    </xf>
    <xf numFmtId="42" fontId="0" fillId="7" borderId="2" xfId="0" applyNumberFormat="1" applyFill="1" applyBorder="1" applyAlignment="1">
      <alignment horizontal="center"/>
    </xf>
    <xf numFmtId="42" fontId="0" fillId="7" borderId="28" xfId="0" applyNumberFormat="1" applyFill="1" applyBorder="1" applyAlignment="1">
      <alignment horizontal="center"/>
    </xf>
    <xf numFmtId="165" fontId="36" fillId="0" borderId="3" xfId="1" applyNumberFormat="1" applyFont="1" applyBorder="1" applyAlignment="1">
      <alignment horizontal="center"/>
    </xf>
    <xf numFmtId="0" fontId="0" fillId="0" borderId="7" xfId="0" applyBorder="1"/>
    <xf numFmtId="42" fontId="2" fillId="7" borderId="33" xfId="0" applyNumberFormat="1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31" fillId="0" borderId="31" xfId="0" applyFont="1" applyBorder="1" applyAlignment="1">
      <alignment horizontal="center" wrapText="1"/>
    </xf>
    <xf numFmtId="44" fontId="2" fillId="0" borderId="12" xfId="1" applyFont="1" applyBorder="1"/>
    <xf numFmtId="44" fontId="2" fillId="0" borderId="26" xfId="1" applyFont="1" applyBorder="1"/>
    <xf numFmtId="44" fontId="2" fillId="0" borderId="29" xfId="1" applyFont="1" applyBorder="1"/>
    <xf numFmtId="164" fontId="2" fillId="0" borderId="3" xfId="0" applyNumberFormat="1" applyFont="1" applyBorder="1"/>
    <xf numFmtId="42" fontId="2" fillId="7" borderId="32" xfId="0" applyNumberFormat="1" applyFont="1" applyFill="1" applyBorder="1" applyAlignment="1">
      <alignment horizontal="center"/>
    </xf>
    <xf numFmtId="42" fontId="2" fillId="7" borderId="34" xfId="0" applyNumberFormat="1" applyFont="1" applyFill="1" applyBorder="1" applyAlignment="1">
      <alignment horizontal="center"/>
    </xf>
    <xf numFmtId="44" fontId="2" fillId="0" borderId="0" xfId="1" applyFont="1" applyBorder="1"/>
    <xf numFmtId="169" fontId="0" fillId="7" borderId="19" xfId="1" applyNumberFormat="1" applyFont="1" applyFill="1" applyBorder="1"/>
    <xf numFmtId="169" fontId="0" fillId="7" borderId="6" xfId="1" applyNumberFormat="1" applyFont="1" applyFill="1" applyBorder="1"/>
    <xf numFmtId="0" fontId="2" fillId="0" borderId="2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7" xfId="0" applyBorder="1"/>
  </cellXfs>
  <cellStyles count="3">
    <cellStyle name="Currency" xfId="1" builtinId="4"/>
    <cellStyle name="Neutral" xfId="2" builtinId="28"/>
    <cellStyle name="Normal" xfId="0" builtinId="0"/>
  </cellStyles>
  <dxfs count="1"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F3ED1-7710-4E81-B475-4ECCAE1307FC}" name="Table1" displayName="Table1" ref="B4:B6" totalsRowShown="0" tableBorderDxfId="0">
  <autoFilter ref="B4:B6" xr:uid="{CF3F3ED1-7710-4E81-B475-4ECCAE1307FC}"/>
  <tableColumns count="1">
    <tableColumn id="1" xr3:uid="{4A8AEEBD-C872-4B39-8E67-B9FECAF72D14}" name="Course buyo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8"/>
  <sheetViews>
    <sheetView tabSelected="1" zoomScaleNormal="100" zoomScalePageLayoutView="75" workbookViewId="0">
      <selection activeCell="I9" sqref="I9"/>
    </sheetView>
  </sheetViews>
  <sheetFormatPr defaultRowHeight="15" x14ac:dyDescent="0.25"/>
  <cols>
    <col min="1" max="1" width="35.140625" customWidth="1"/>
    <col min="2" max="2" width="24.85546875" customWidth="1"/>
    <col min="3" max="3" width="12.140625" customWidth="1"/>
    <col min="4" max="6" width="12.85546875" customWidth="1"/>
    <col min="7" max="7" width="12.85546875" style="5" customWidth="1"/>
    <col min="8" max="8" width="12" customWidth="1"/>
    <col min="10" max="10" width="12.85546875" customWidth="1"/>
  </cols>
  <sheetData>
    <row r="1" spans="1:13" ht="17.25" x14ac:dyDescent="0.3">
      <c r="A1" s="85" t="s">
        <v>0</v>
      </c>
      <c r="B1" s="86" t="s">
        <v>66</v>
      </c>
      <c r="C1" s="7"/>
      <c r="D1" s="7"/>
      <c r="E1" s="7"/>
      <c r="F1" s="7"/>
      <c r="G1" s="7"/>
    </row>
    <row r="2" spans="1:13" ht="18" thickBot="1" x14ac:dyDescent="0.35">
      <c r="A2" s="77" t="s">
        <v>1</v>
      </c>
      <c r="B2" s="87">
        <v>46478</v>
      </c>
      <c r="C2" s="7"/>
      <c r="D2" s="7"/>
      <c r="E2" s="7"/>
      <c r="F2" s="7"/>
      <c r="G2" s="7"/>
    </row>
    <row r="3" spans="1:13" ht="18" thickBot="1" x14ac:dyDescent="0.35">
      <c r="A3" s="8" t="s">
        <v>2</v>
      </c>
      <c r="B3" s="116">
        <v>46843</v>
      </c>
      <c r="C3" s="7"/>
      <c r="D3" s="120" t="s">
        <v>3</v>
      </c>
      <c r="E3" s="75"/>
      <c r="F3" s="75"/>
      <c r="G3" s="156"/>
    </row>
    <row r="4" spans="1:13" ht="18" thickBot="1" x14ac:dyDescent="0.35">
      <c r="A4" s="110"/>
      <c r="B4" s="7"/>
      <c r="C4" s="7"/>
      <c r="D4" s="121" t="s">
        <v>64</v>
      </c>
      <c r="E4" s="74"/>
      <c r="F4" s="74"/>
      <c r="G4" s="156"/>
    </row>
    <row r="5" spans="1:13" ht="15.75" customHeight="1" thickBot="1" x14ac:dyDescent="0.3">
      <c r="A5" s="113" t="s">
        <v>4</v>
      </c>
      <c r="B5" s="114"/>
      <c r="C5" s="115"/>
      <c r="D5" s="109" t="s">
        <v>5</v>
      </c>
      <c r="E5" s="83"/>
      <c r="F5" s="83"/>
      <c r="G5" s="83"/>
      <c r="L5" s="80"/>
      <c r="M5" s="6"/>
    </row>
    <row r="6" spans="1:13" ht="29.25" customHeight="1" thickBot="1" x14ac:dyDescent="0.3">
      <c r="A6" s="112" t="s">
        <v>6</v>
      </c>
      <c r="B6" s="82" t="s">
        <v>7</v>
      </c>
      <c r="C6" s="111" t="s">
        <v>8</v>
      </c>
      <c r="D6" s="2" t="s">
        <v>9</v>
      </c>
      <c r="E6" s="3" t="s">
        <v>10</v>
      </c>
      <c r="F6" s="3" t="s">
        <v>11</v>
      </c>
      <c r="G6" s="157" t="s">
        <v>40</v>
      </c>
      <c r="L6" s="81"/>
      <c r="M6" s="81"/>
    </row>
    <row r="7" spans="1:13" ht="21" customHeight="1" x14ac:dyDescent="0.25">
      <c r="A7" s="125" t="str">
        <f>B1</f>
        <v>Virag Mishra</v>
      </c>
      <c r="B7" s="78" t="s">
        <v>12</v>
      </c>
      <c r="C7" s="126">
        <v>8297</v>
      </c>
      <c r="D7" s="165">
        <v>2.2999999999999998</v>
      </c>
      <c r="E7" s="151">
        <v>16782</v>
      </c>
      <c r="F7" s="151">
        <v>8508</v>
      </c>
      <c r="G7" s="158">
        <f>E7+F7</f>
        <v>25290</v>
      </c>
    </row>
    <row r="8" spans="1:13" ht="21" customHeight="1" x14ac:dyDescent="0.25">
      <c r="A8" s="125" t="s">
        <v>67</v>
      </c>
      <c r="B8" s="79" t="s">
        <v>68</v>
      </c>
      <c r="C8" s="126" t="s">
        <v>69</v>
      </c>
      <c r="D8" s="166" t="s">
        <v>69</v>
      </c>
      <c r="E8" s="151">
        <v>0</v>
      </c>
      <c r="F8" s="151">
        <v>0</v>
      </c>
      <c r="G8" s="159">
        <f>E8+F8</f>
        <v>0</v>
      </c>
    </row>
    <row r="9" spans="1:13" ht="21" customHeight="1" x14ac:dyDescent="0.25">
      <c r="A9" s="125" t="s">
        <v>74</v>
      </c>
      <c r="B9" s="79" t="s">
        <v>68</v>
      </c>
      <c r="C9" s="126" t="s">
        <v>69</v>
      </c>
      <c r="D9" s="166" t="s">
        <v>69</v>
      </c>
      <c r="E9" s="151">
        <v>0</v>
      </c>
      <c r="F9" s="151">
        <v>0</v>
      </c>
      <c r="G9" s="159">
        <f>E9+F9</f>
        <v>0</v>
      </c>
    </row>
    <row r="10" spans="1:13" ht="21" customHeight="1" x14ac:dyDescent="0.25">
      <c r="A10" s="125" t="s">
        <v>73</v>
      </c>
      <c r="B10" s="79" t="s">
        <v>68</v>
      </c>
      <c r="C10" s="126" t="s">
        <v>69</v>
      </c>
      <c r="D10" s="166" t="s">
        <v>69</v>
      </c>
      <c r="E10" s="151">
        <v>0</v>
      </c>
      <c r="F10" s="151">
        <v>0</v>
      </c>
      <c r="G10" s="159">
        <f t="shared" ref="G10:G17" si="0">E10+F10</f>
        <v>0</v>
      </c>
    </row>
    <row r="11" spans="1:13" ht="21" customHeight="1" x14ac:dyDescent="0.25">
      <c r="A11" s="125" t="s">
        <v>70</v>
      </c>
      <c r="B11" s="79" t="s">
        <v>71</v>
      </c>
      <c r="C11" s="126">
        <v>5417</v>
      </c>
      <c r="D11" s="127">
        <v>3</v>
      </c>
      <c r="E11" s="151">
        <v>16250</v>
      </c>
      <c r="F11" s="151">
        <v>5070</v>
      </c>
      <c r="G11" s="159">
        <f t="shared" si="0"/>
        <v>21320</v>
      </c>
    </row>
    <row r="12" spans="1:13" ht="21" customHeight="1" x14ac:dyDescent="0.25">
      <c r="A12" s="125"/>
      <c r="B12" s="79"/>
      <c r="C12" s="126"/>
      <c r="D12" s="127"/>
      <c r="E12" s="151">
        <v>0</v>
      </c>
      <c r="F12" s="151">
        <v>0</v>
      </c>
      <c r="G12" s="159">
        <f t="shared" si="0"/>
        <v>0</v>
      </c>
    </row>
    <row r="13" spans="1:13" ht="21" customHeight="1" x14ac:dyDescent="0.25">
      <c r="A13" s="125"/>
      <c r="B13" s="79"/>
      <c r="C13" s="126"/>
      <c r="D13" s="127"/>
      <c r="E13" s="151">
        <v>0</v>
      </c>
      <c r="F13" s="151">
        <v>0</v>
      </c>
      <c r="G13" s="159">
        <f t="shared" si="0"/>
        <v>0</v>
      </c>
    </row>
    <row r="14" spans="1:13" ht="21" customHeight="1" x14ac:dyDescent="0.25">
      <c r="A14" s="125"/>
      <c r="B14" s="79"/>
      <c r="C14" s="126"/>
      <c r="D14" s="127"/>
      <c r="E14" s="151">
        <v>0</v>
      </c>
      <c r="F14" s="151">
        <v>0</v>
      </c>
      <c r="G14" s="159">
        <f t="shared" si="0"/>
        <v>0</v>
      </c>
    </row>
    <row r="15" spans="1:13" ht="21" customHeight="1" x14ac:dyDescent="0.25">
      <c r="A15" s="125"/>
      <c r="B15" s="79"/>
      <c r="C15" s="126"/>
      <c r="D15" s="127"/>
      <c r="E15" s="151">
        <v>0</v>
      </c>
      <c r="F15" s="151">
        <v>0</v>
      </c>
      <c r="G15" s="159">
        <f t="shared" si="0"/>
        <v>0</v>
      </c>
    </row>
    <row r="16" spans="1:13" ht="21" customHeight="1" x14ac:dyDescent="0.25">
      <c r="A16" s="125"/>
      <c r="B16" s="79"/>
      <c r="C16" s="126"/>
      <c r="D16" s="127"/>
      <c r="E16" s="151">
        <v>0</v>
      </c>
      <c r="F16" s="151">
        <v>0</v>
      </c>
      <c r="G16" s="159">
        <f t="shared" si="0"/>
        <v>0</v>
      </c>
    </row>
    <row r="17" spans="1:8" ht="21" customHeight="1" thickBot="1" x14ac:dyDescent="0.3">
      <c r="A17" s="128"/>
      <c r="B17" s="84"/>
      <c r="C17" s="129"/>
      <c r="D17" s="130"/>
      <c r="E17" s="152">
        <v>0</v>
      </c>
      <c r="F17" s="152">
        <v>0</v>
      </c>
      <c r="G17" s="160">
        <f t="shared" si="0"/>
        <v>0</v>
      </c>
    </row>
    <row r="18" spans="1:8" ht="22.5" customHeight="1" thickBot="1" x14ac:dyDescent="0.3">
      <c r="A18" s="167" t="s">
        <v>13</v>
      </c>
      <c r="B18" s="168"/>
      <c r="C18" s="169"/>
      <c r="D18" s="88"/>
      <c r="E18" s="131">
        <f>SUM(E7:E17)</f>
        <v>33032</v>
      </c>
      <c r="F18" s="131">
        <f>SUM(F7:F17)</f>
        <v>13578</v>
      </c>
      <c r="G18" s="161">
        <f>SUM(G7:G17)</f>
        <v>46610</v>
      </c>
      <c r="H18" s="118"/>
    </row>
    <row r="19" spans="1:8" ht="15.75" customHeight="1" thickBot="1" x14ac:dyDescent="0.3">
      <c r="A19" s="170"/>
      <c r="B19" s="170"/>
      <c r="C19" s="170"/>
      <c r="D19" s="170"/>
      <c r="E19" s="170"/>
      <c r="F19" s="170"/>
      <c r="G19" s="170"/>
    </row>
    <row r="20" spans="1:8" ht="15.75" customHeight="1" thickBot="1" x14ac:dyDescent="0.3">
      <c r="A20" s="132" t="s">
        <v>14</v>
      </c>
      <c r="B20" s="132"/>
      <c r="C20" s="91"/>
      <c r="D20" s="154"/>
      <c r="E20" s="154"/>
      <c r="F20" s="154"/>
      <c r="G20" s="124"/>
    </row>
    <row r="21" spans="1:8" ht="15.75" customHeight="1" x14ac:dyDescent="0.25">
      <c r="A21" s="133"/>
      <c r="B21" s="91"/>
      <c r="C21" s="92"/>
      <c r="D21" s="91"/>
      <c r="E21" s="134"/>
      <c r="F21" s="134"/>
      <c r="G21" s="162">
        <v>900</v>
      </c>
    </row>
    <row r="22" spans="1:8" ht="15.75" customHeight="1" thickBot="1" x14ac:dyDescent="0.3">
      <c r="A22" s="135"/>
      <c r="B22" s="97"/>
      <c r="C22" s="98"/>
      <c r="D22" s="97"/>
      <c r="E22" s="136"/>
      <c r="F22" s="136"/>
      <c r="G22" s="163">
        <v>0</v>
      </c>
    </row>
    <row r="23" spans="1:8" ht="15.75" customHeight="1" thickBot="1" x14ac:dyDescent="0.3">
      <c r="A23" s="117" t="s">
        <v>15</v>
      </c>
      <c r="B23" s="76"/>
      <c r="C23" s="76"/>
      <c r="D23" s="76"/>
      <c r="E23" s="76"/>
      <c r="F23" s="76"/>
      <c r="G23" s="123"/>
    </row>
    <row r="24" spans="1:8" ht="15.75" customHeight="1" x14ac:dyDescent="0.25">
      <c r="A24" s="133" t="s">
        <v>72</v>
      </c>
      <c r="B24" s="137"/>
      <c r="C24" s="138"/>
      <c r="D24" s="132"/>
      <c r="E24" s="134"/>
      <c r="F24" s="134"/>
      <c r="G24" s="162">
        <v>2490</v>
      </c>
    </row>
    <row r="25" spans="1:8" ht="15.75" customHeight="1" x14ac:dyDescent="0.25">
      <c r="A25" s="139"/>
      <c r="B25" s="140"/>
      <c r="C25" s="141"/>
      <c r="D25" s="103"/>
      <c r="E25" s="142"/>
      <c r="F25" s="142"/>
      <c r="G25" s="155">
        <v>0</v>
      </c>
    </row>
    <row r="26" spans="1:8" ht="15.75" customHeight="1" thickBot="1" x14ac:dyDescent="0.3">
      <c r="A26" s="143"/>
      <c r="B26" s="97"/>
      <c r="C26" s="98"/>
      <c r="D26" s="143"/>
      <c r="E26" s="136"/>
      <c r="F26" s="136"/>
      <c r="G26" s="163">
        <v>0</v>
      </c>
    </row>
    <row r="27" spans="1:8" ht="15.75" customHeight="1" thickBot="1" x14ac:dyDescent="0.3">
      <c r="A27" s="122" t="s">
        <v>16</v>
      </c>
      <c r="B27" s="5"/>
      <c r="C27" s="5"/>
      <c r="D27" s="5"/>
      <c r="E27" s="5"/>
      <c r="F27" s="5"/>
      <c r="G27" s="119"/>
    </row>
    <row r="28" spans="1:8" x14ac:dyDescent="0.25">
      <c r="A28" s="103" t="s">
        <v>17</v>
      </c>
      <c r="C28" s="94"/>
      <c r="E28" s="144"/>
      <c r="F28" s="144"/>
      <c r="G28" s="155">
        <v>0</v>
      </c>
    </row>
    <row r="29" spans="1:8" ht="15.75" customHeight="1" x14ac:dyDescent="0.25">
      <c r="A29" s="103" t="s">
        <v>18</v>
      </c>
      <c r="C29" s="94"/>
      <c r="E29" s="144"/>
      <c r="F29" s="144"/>
      <c r="G29" s="155">
        <v>0</v>
      </c>
      <c r="H29" s="4"/>
    </row>
    <row r="30" spans="1:8" ht="15.75" customHeight="1" x14ac:dyDescent="0.25">
      <c r="A30" s="103" t="s">
        <v>19</v>
      </c>
      <c r="C30" s="94"/>
      <c r="E30" s="144"/>
      <c r="F30" s="144"/>
      <c r="G30" s="155">
        <v>0</v>
      </c>
      <c r="H30" s="4"/>
    </row>
    <row r="31" spans="1:8" ht="15.75" customHeight="1" x14ac:dyDescent="0.25">
      <c r="A31" s="103" t="s">
        <v>20</v>
      </c>
      <c r="C31" s="94"/>
      <c r="E31" s="144"/>
      <c r="F31" s="144"/>
      <c r="G31" s="155">
        <v>0</v>
      </c>
      <c r="H31" s="4"/>
    </row>
    <row r="32" spans="1:8" ht="15.75" customHeight="1" x14ac:dyDescent="0.25">
      <c r="A32" s="103" t="s">
        <v>21</v>
      </c>
      <c r="C32" s="94"/>
      <c r="E32" s="144"/>
      <c r="F32" s="144"/>
      <c r="G32" s="155">
        <v>0</v>
      </c>
      <c r="H32" s="4"/>
    </row>
    <row r="33" spans="1:7" ht="15.75" customHeight="1" thickBot="1" x14ac:dyDescent="0.3">
      <c r="A33" s="143" t="s">
        <v>22</v>
      </c>
      <c r="B33" s="97"/>
      <c r="C33" s="98"/>
      <c r="D33" s="97"/>
      <c r="E33" s="145"/>
      <c r="F33" s="145"/>
      <c r="G33" s="163">
        <v>0</v>
      </c>
    </row>
    <row r="34" spans="1:7" ht="21" customHeight="1" thickBot="1" x14ac:dyDescent="0.3"/>
    <row r="35" spans="1:7" s="146" customFormat="1" ht="16.5" thickBot="1" x14ac:dyDescent="0.3">
      <c r="A35" s="147" t="s">
        <v>63</v>
      </c>
      <c r="B35" s="148"/>
      <c r="C35" s="149"/>
      <c r="D35" s="148"/>
      <c r="E35" s="150"/>
      <c r="F35" s="150"/>
      <c r="G35" s="153">
        <f>G18+SUM(G21:G33)</f>
        <v>50000</v>
      </c>
    </row>
    <row r="36" spans="1:7" x14ac:dyDescent="0.25">
      <c r="A36" s="5"/>
      <c r="B36" s="5"/>
      <c r="C36" s="5"/>
      <c r="D36" s="5"/>
      <c r="E36" s="6"/>
      <c r="F36" s="6"/>
      <c r="G36" s="164"/>
    </row>
    <row r="37" spans="1:7" x14ac:dyDescent="0.25">
      <c r="A37" t="s">
        <v>65</v>
      </c>
    </row>
    <row r="38" spans="1:7" x14ac:dyDescent="0.25">
      <c r="A38" s="4" t="s">
        <v>23</v>
      </c>
    </row>
  </sheetData>
  <mergeCells count="2">
    <mergeCell ref="A18:C18"/>
    <mergeCell ref="A19:G19"/>
  </mergeCells>
  <pageMargins left="0.7" right="0.7" top="0.75" bottom="0.75" header="0.3" footer="0.3"/>
  <pageSetup scale="48" orientation="landscape" r:id="rId1"/>
  <headerFooter>
    <oddHeader>&amp;LOregon State Office for Research Advancement 
2024 Budget Template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workbookViewId="0">
      <selection activeCell="B12" sqref="B12"/>
    </sheetView>
  </sheetViews>
  <sheetFormatPr defaultColWidth="9.140625" defaultRowHeight="15" x14ac:dyDescent="0.25"/>
  <cols>
    <col min="1" max="1" width="21.28515625" customWidth="1"/>
    <col min="2" max="2" width="19.42578125" style="17" customWidth="1"/>
    <col min="3" max="3" width="13.42578125" customWidth="1"/>
    <col min="4" max="4" width="13.28515625" customWidth="1"/>
    <col min="5" max="5" width="15.42578125" customWidth="1"/>
    <col min="6" max="6" width="13.5703125" customWidth="1"/>
    <col min="7" max="9" width="11.7109375" customWidth="1"/>
    <col min="10" max="10" width="4.5703125" customWidth="1"/>
    <col min="11" max="11" width="8.7109375" customWidth="1"/>
    <col min="12" max="12" width="15.7109375" style="18" bestFit="1" customWidth="1"/>
    <col min="13" max="13" width="24.28515625" bestFit="1" customWidth="1"/>
  </cols>
  <sheetData>
    <row r="1" spans="1:13" s="15" customFormat="1" ht="18.75" x14ac:dyDescent="0.3">
      <c r="A1" s="9" t="s">
        <v>24</v>
      </c>
      <c r="B1" s="10"/>
      <c r="C1" s="10" t="e">
        <f>'BUDGET TEMPLATE'!#REF!</f>
        <v>#REF!</v>
      </c>
      <c r="D1" s="11"/>
      <c r="E1" s="12"/>
      <c r="F1" s="12"/>
      <c r="G1" s="10"/>
      <c r="H1" s="13"/>
      <c r="I1" s="14"/>
      <c r="J1"/>
      <c r="L1" s="16"/>
      <c r="M1"/>
    </row>
    <row r="3" spans="1:13" s="15" customFormat="1" ht="15.75" x14ac:dyDescent="0.25">
      <c r="A3" s="57" t="s">
        <v>25</v>
      </c>
      <c r="B3" s="58"/>
      <c r="C3" s="59"/>
      <c r="D3" s="59"/>
      <c r="E3" s="59"/>
      <c r="F3" s="59"/>
      <c r="G3" s="59"/>
      <c r="H3" s="59"/>
      <c r="I3" s="59"/>
      <c r="J3"/>
      <c r="L3" s="18"/>
      <c r="M3"/>
    </row>
    <row r="4" spans="1:13" s="17" customFormat="1" x14ac:dyDescent="0.25">
      <c r="A4" s="19" t="s">
        <v>26</v>
      </c>
      <c r="B4" s="20" t="str">
        <f>'BUDGET TEMPLATE'!A7</f>
        <v>Virag Mishra</v>
      </c>
      <c r="D4" s="19" t="s">
        <v>27</v>
      </c>
      <c r="E4" s="21">
        <f>'BUDGET TEMPLATE'!B2</f>
        <v>46478</v>
      </c>
      <c r="F4" s="19"/>
      <c r="G4" s="20"/>
      <c r="J4"/>
      <c r="L4" s="22"/>
    </row>
    <row r="5" spans="1:13" s="17" customFormat="1" x14ac:dyDescent="0.25">
      <c r="A5" s="23" t="s">
        <v>28</v>
      </c>
      <c r="B5" s="24" t="e">
        <f>'BUDGET TEMPLATE'!#REF!</f>
        <v>#REF!</v>
      </c>
      <c r="C5" s="25"/>
      <c r="D5" s="19" t="s">
        <v>29</v>
      </c>
      <c r="E5" s="21">
        <f>'BUDGET TEMPLATE'!B3</f>
        <v>46843</v>
      </c>
      <c r="F5" s="19"/>
      <c r="G5" s="20"/>
      <c r="J5"/>
      <c r="L5" s="19"/>
    </row>
    <row r="6" spans="1:13" s="17" customFormat="1" x14ac:dyDescent="0.25">
      <c r="A6" s="19"/>
      <c r="B6" s="21"/>
      <c r="E6" s="17" t="s">
        <v>30</v>
      </c>
      <c r="F6" s="66"/>
      <c r="G6" s="26"/>
      <c r="J6"/>
      <c r="L6" s="19"/>
    </row>
    <row r="7" spans="1:13" x14ac:dyDescent="0.25">
      <c r="C7" s="17"/>
      <c r="D7" s="27"/>
      <c r="E7" s="27"/>
      <c r="F7" s="27"/>
      <c r="G7" s="27"/>
      <c r="H7" s="27"/>
    </row>
    <row r="8" spans="1:13" s="28" customFormat="1" ht="15.75" x14ac:dyDescent="0.25">
      <c r="A8" s="57" t="s">
        <v>31</v>
      </c>
      <c r="B8" s="60"/>
      <c r="C8" s="57"/>
      <c r="D8" s="65">
        <f>$D$1</f>
        <v>0</v>
      </c>
      <c r="E8" s="57"/>
      <c r="F8" s="61"/>
      <c r="G8" s="57"/>
      <c r="H8" s="57"/>
      <c r="I8" s="62"/>
      <c r="J8"/>
    </row>
    <row r="9" spans="1:13" ht="15.75" x14ac:dyDescent="0.25">
      <c r="A9" s="15" t="s">
        <v>32</v>
      </c>
      <c r="B9" s="30" t="e">
        <f>SUM(B10:B11)</f>
        <v>#REF!</v>
      </c>
      <c r="D9" s="31" t="s">
        <v>33</v>
      </c>
      <c r="E9" s="31"/>
    </row>
    <row r="10" spans="1:13" ht="15.75" x14ac:dyDescent="0.25">
      <c r="A10" s="32" t="s">
        <v>34</v>
      </c>
      <c r="B10" s="33" t="e">
        <f>D19</f>
        <v>#REF!</v>
      </c>
      <c r="D10" s="34" t="s">
        <v>35</v>
      </c>
    </row>
    <row r="11" spans="1:13" ht="15.75" x14ac:dyDescent="0.25">
      <c r="A11" s="32" t="s">
        <v>36</v>
      </c>
      <c r="B11" s="33">
        <f>D48</f>
        <v>0</v>
      </c>
      <c r="D11" s="34" t="s">
        <v>37</v>
      </c>
      <c r="L11"/>
    </row>
    <row r="12" spans="1:13" ht="16.5" thickBot="1" x14ac:dyDescent="0.3">
      <c r="A12" s="32"/>
      <c r="B12" s="35"/>
      <c r="D12" s="34"/>
      <c r="L12"/>
    </row>
    <row r="13" spans="1:13" ht="15.75" x14ac:dyDescent="0.25">
      <c r="A13" s="65" t="s">
        <v>38</v>
      </c>
      <c r="B13" s="65"/>
      <c r="C13" s="72" t="s">
        <v>39</v>
      </c>
      <c r="D13" s="72" t="s">
        <v>40</v>
      </c>
      <c r="F13" s="99" t="s">
        <v>41</v>
      </c>
      <c r="G13" s="100"/>
      <c r="H13" s="101"/>
      <c r="I13" s="102"/>
      <c r="L13"/>
    </row>
    <row r="14" spans="1:13" x14ac:dyDescent="0.25">
      <c r="A14" s="17" t="s">
        <v>42</v>
      </c>
      <c r="C14" s="36" t="e">
        <f>'BUDGET TEMPLATE'!#REF!</f>
        <v>#REF!</v>
      </c>
      <c r="D14" s="37" t="e">
        <f>C14</f>
        <v>#REF!</v>
      </c>
      <c r="F14" s="103" t="s">
        <v>43</v>
      </c>
      <c r="G14" s="18"/>
      <c r="I14" s="108" t="s">
        <v>44</v>
      </c>
      <c r="L14"/>
    </row>
    <row r="15" spans="1:13" ht="15.75" thickBot="1" x14ac:dyDescent="0.3">
      <c r="A15" s="17" t="s">
        <v>45</v>
      </c>
      <c r="C15" s="36"/>
      <c r="D15" s="37">
        <f t="shared" ref="D15:D18" si="0">C15</f>
        <v>0</v>
      </c>
      <c r="F15" s="103"/>
      <c r="G15" s="18"/>
      <c r="I15" s="94"/>
      <c r="L15"/>
    </row>
    <row r="16" spans="1:13" x14ac:dyDescent="0.25">
      <c r="A16" s="17" t="s">
        <v>46</v>
      </c>
      <c r="C16" s="36"/>
      <c r="D16" s="37">
        <f t="shared" si="0"/>
        <v>0</v>
      </c>
      <c r="F16" s="89" t="s">
        <v>47</v>
      </c>
      <c r="G16" s="90"/>
      <c r="H16" s="91"/>
      <c r="I16" s="92"/>
      <c r="L16"/>
    </row>
    <row r="17" spans="1:14" x14ac:dyDescent="0.25">
      <c r="A17" s="17" t="s">
        <v>19</v>
      </c>
      <c r="C17" s="36"/>
      <c r="D17" s="37">
        <f t="shared" si="0"/>
        <v>0</v>
      </c>
      <c r="F17" s="93" t="s">
        <v>48</v>
      </c>
      <c r="G17" s="18"/>
      <c r="I17" s="94"/>
      <c r="L17"/>
    </row>
    <row r="18" spans="1:14" ht="15.75" thickBot="1" x14ac:dyDescent="0.3">
      <c r="A18" s="17" t="s">
        <v>36</v>
      </c>
      <c r="C18" s="36"/>
      <c r="D18" s="37">
        <f t="shared" si="0"/>
        <v>0</v>
      </c>
      <c r="F18" s="95" t="s">
        <v>49</v>
      </c>
      <c r="G18" s="96"/>
      <c r="H18" s="97"/>
      <c r="I18" s="98"/>
      <c r="L18"/>
    </row>
    <row r="19" spans="1:14" x14ac:dyDescent="0.25">
      <c r="A19" s="38" t="s">
        <v>50</v>
      </c>
      <c r="B19" s="38"/>
      <c r="C19" s="39" t="e">
        <f>SUM(C14:C18)</f>
        <v>#REF!</v>
      </c>
      <c r="D19" s="64" t="e">
        <f>SUM(D14:D18)</f>
        <v>#REF!</v>
      </c>
      <c r="L19"/>
    </row>
    <row r="20" spans="1:14" ht="15.75" hidden="1" x14ac:dyDescent="0.25">
      <c r="A20" s="60" t="s">
        <v>51</v>
      </c>
      <c r="B20" s="60"/>
      <c r="C20" s="60"/>
      <c r="D20" s="60"/>
      <c r="G20" s="18"/>
      <c r="L20"/>
    </row>
    <row r="21" spans="1:14" hidden="1" x14ac:dyDescent="0.25">
      <c r="A21" s="20" t="s">
        <v>52</v>
      </c>
      <c r="B21" s="16" t="s">
        <v>53</v>
      </c>
      <c r="C21" s="40" t="s">
        <v>39</v>
      </c>
      <c r="D21" s="40" t="s">
        <v>40</v>
      </c>
      <c r="G21" s="18"/>
      <c r="L21"/>
    </row>
    <row r="22" spans="1:14" hidden="1" x14ac:dyDescent="0.25">
      <c r="A22" s="41">
        <v>0</v>
      </c>
      <c r="B22" s="41" t="e">
        <v>#VALUE!</v>
      </c>
      <c r="C22" s="27" t="e">
        <v>#VALUE!</v>
      </c>
      <c r="D22" s="27" t="e">
        <f t="shared" ref="D22:D36" si="1">SUM(C22:C22)</f>
        <v>#VALUE!</v>
      </c>
      <c r="E22" s="37"/>
      <c r="F22" s="37"/>
      <c r="G22" s="37"/>
      <c r="H22" s="37"/>
      <c r="I22" s="37"/>
      <c r="J22" s="27"/>
      <c r="N22" s="17"/>
    </row>
    <row r="23" spans="1:14" ht="15.75" hidden="1" x14ac:dyDescent="0.25">
      <c r="A23" s="41" t="e">
        <v>#VALUE!</v>
      </c>
      <c r="B23" s="41" t="e">
        <v>#VALUE!</v>
      </c>
      <c r="C23" s="27" t="e">
        <v>#VALUE!</v>
      </c>
      <c r="D23" s="27" t="e">
        <f t="shared" si="1"/>
        <v>#VALUE!</v>
      </c>
      <c r="E23" s="63">
        <f>$D$1</f>
        <v>0</v>
      </c>
      <c r="F23" s="27"/>
      <c r="H23" s="18"/>
      <c r="J23" s="17"/>
      <c r="L23"/>
    </row>
    <row r="24" spans="1:14" hidden="1" x14ac:dyDescent="0.25">
      <c r="A24" s="41" t="e">
        <v>#VALUE!</v>
      </c>
      <c r="B24" s="41" t="e">
        <v>#VALUE!</v>
      </c>
      <c r="C24" s="27" t="e">
        <v>#VALUE!</v>
      </c>
      <c r="D24" s="27" t="e">
        <f t="shared" si="1"/>
        <v>#VALUE!</v>
      </c>
      <c r="E24" s="27"/>
      <c r="L24"/>
    </row>
    <row r="25" spans="1:14" hidden="1" x14ac:dyDescent="0.25">
      <c r="A25" s="41" t="e">
        <v>#VALUE!</v>
      </c>
      <c r="B25" s="41" t="e">
        <v>#VALUE!</v>
      </c>
      <c r="C25" s="27" t="e">
        <v>#VALUE!</v>
      </c>
      <c r="D25" s="27" t="e">
        <f t="shared" si="1"/>
        <v>#VALUE!</v>
      </c>
      <c r="E25" s="27"/>
      <c r="L25"/>
    </row>
    <row r="26" spans="1:14" hidden="1" x14ac:dyDescent="0.25">
      <c r="A26" s="41" t="e">
        <v>#VALUE!</v>
      </c>
      <c r="B26" s="41" t="e">
        <v>#VALUE!</v>
      </c>
      <c r="C26" s="27" t="e">
        <v>#VALUE!</v>
      </c>
      <c r="D26" s="27" t="e">
        <f t="shared" si="1"/>
        <v>#VALUE!</v>
      </c>
      <c r="L26"/>
    </row>
    <row r="27" spans="1:14" hidden="1" x14ac:dyDescent="0.25">
      <c r="A27" s="41" t="e">
        <v>#VALUE!</v>
      </c>
      <c r="B27" s="41" t="e">
        <v>#VALUE!</v>
      </c>
      <c r="C27" s="27" t="e">
        <v>#VALUE!</v>
      </c>
      <c r="D27" s="27" t="e">
        <f t="shared" si="1"/>
        <v>#VALUE!</v>
      </c>
      <c r="E27" s="27"/>
      <c r="L27"/>
    </row>
    <row r="28" spans="1:14" hidden="1" x14ac:dyDescent="0.25">
      <c r="A28" s="41" t="e">
        <v>#VALUE!</v>
      </c>
      <c r="B28" s="41" t="e">
        <v>#VALUE!</v>
      </c>
      <c r="C28" s="27" t="e">
        <v>#VALUE!</v>
      </c>
      <c r="D28" s="27" t="e">
        <f t="shared" si="1"/>
        <v>#VALUE!</v>
      </c>
      <c r="E28" s="27"/>
      <c r="L28"/>
    </row>
    <row r="29" spans="1:14" hidden="1" x14ac:dyDescent="0.25">
      <c r="A29" s="41" t="e">
        <v>#VALUE!</v>
      </c>
      <c r="B29" s="41" t="e">
        <v>#VALUE!</v>
      </c>
      <c r="C29" s="27" t="e">
        <v>#VALUE!</v>
      </c>
      <c r="D29" s="27" t="e">
        <f t="shared" si="1"/>
        <v>#VALUE!</v>
      </c>
      <c r="E29" s="27"/>
      <c r="L29"/>
    </row>
    <row r="30" spans="1:14" hidden="1" x14ac:dyDescent="0.25">
      <c r="A30" s="41" t="e">
        <v>#VALUE!</v>
      </c>
      <c r="B30" s="41" t="e">
        <v>#VALUE!</v>
      </c>
      <c r="C30" s="27" t="e">
        <v>#VALUE!</v>
      </c>
      <c r="D30" s="27" t="e">
        <f t="shared" si="1"/>
        <v>#VALUE!</v>
      </c>
      <c r="L30"/>
    </row>
    <row r="31" spans="1:14" hidden="1" x14ac:dyDescent="0.25">
      <c r="A31" s="41" t="e">
        <v>#VALUE!</v>
      </c>
      <c r="B31" s="41" t="e">
        <v>#VALUE!</v>
      </c>
      <c r="C31" s="27" t="e">
        <v>#VALUE!</v>
      </c>
      <c r="D31" s="27" t="e">
        <f t="shared" si="1"/>
        <v>#VALUE!</v>
      </c>
      <c r="L31"/>
    </row>
    <row r="32" spans="1:14" hidden="1" x14ac:dyDescent="0.25">
      <c r="A32" s="41" t="e">
        <v>#VALUE!</v>
      </c>
      <c r="B32" s="41" t="e">
        <v>#VALUE!</v>
      </c>
      <c r="C32" s="27" t="e">
        <v>#VALUE!</v>
      </c>
      <c r="D32" s="27" t="e">
        <f t="shared" si="1"/>
        <v>#VALUE!</v>
      </c>
      <c r="E32" s="27"/>
      <c r="L32"/>
    </row>
    <row r="33" spans="1:14" hidden="1" x14ac:dyDescent="0.25">
      <c r="A33" s="41" t="e">
        <v>#VALUE!</v>
      </c>
      <c r="B33" s="41" t="e">
        <v>#VALUE!</v>
      </c>
      <c r="C33" s="27" t="e">
        <v>#VALUE!</v>
      </c>
      <c r="D33" s="27" t="e">
        <f t="shared" si="1"/>
        <v>#VALUE!</v>
      </c>
      <c r="E33" s="27"/>
      <c r="L33"/>
    </row>
    <row r="34" spans="1:14" hidden="1" x14ac:dyDescent="0.25">
      <c r="A34" s="41" t="e">
        <v>#VALUE!</v>
      </c>
      <c r="B34" s="41" t="e">
        <v>#VALUE!</v>
      </c>
      <c r="C34" s="27" t="e">
        <v>#VALUE!</v>
      </c>
      <c r="D34" s="27" t="e">
        <f t="shared" si="1"/>
        <v>#VALUE!</v>
      </c>
      <c r="E34" s="27"/>
      <c r="L34"/>
    </row>
    <row r="35" spans="1:14" hidden="1" x14ac:dyDescent="0.25">
      <c r="A35" s="41" t="e">
        <v>#VALUE!</v>
      </c>
      <c r="B35" s="41" t="e">
        <v>#VALUE!</v>
      </c>
      <c r="C35" s="27" t="e">
        <v>#VALUE!</v>
      </c>
      <c r="D35" s="27" t="e">
        <f t="shared" si="1"/>
        <v>#VALUE!</v>
      </c>
      <c r="L35"/>
    </row>
    <row r="36" spans="1:14" hidden="1" x14ac:dyDescent="0.25">
      <c r="A36" s="41" t="e">
        <v>#VALUE!</v>
      </c>
      <c r="B36" s="41" t="e">
        <v>#VALUE!</v>
      </c>
      <c r="C36" s="27" t="e">
        <v>#VALUE!</v>
      </c>
      <c r="D36" s="27" t="e">
        <f t="shared" si="1"/>
        <v>#VALUE!</v>
      </c>
      <c r="L36"/>
    </row>
    <row r="37" spans="1:14" hidden="1" x14ac:dyDescent="0.25">
      <c r="A37" s="1"/>
      <c r="B37" s="42" t="s">
        <v>54</v>
      </c>
      <c r="C37" s="43">
        <v>0</v>
      </c>
      <c r="D37" s="43">
        <v>0</v>
      </c>
      <c r="L37"/>
    </row>
    <row r="38" spans="1:14" s="28" customFormat="1" ht="15.75" hidden="1" x14ac:dyDescent="0.25">
      <c r="A38"/>
      <c r="B38" s="44"/>
      <c r="C38" s="45"/>
      <c r="D38" s="45"/>
      <c r="E38"/>
    </row>
    <row r="39" spans="1:14" s="17" customFormat="1" ht="15.75" hidden="1" x14ac:dyDescent="0.25">
      <c r="A39" s="46"/>
      <c r="B39" s="44"/>
      <c r="C39" s="45"/>
      <c r="D39" s="45"/>
      <c r="E39"/>
    </row>
    <row r="40" spans="1:14" hidden="1" x14ac:dyDescent="0.25">
      <c r="B40"/>
      <c r="E40" s="43">
        <v>0</v>
      </c>
      <c r="F40" s="27"/>
      <c r="H40" s="18"/>
      <c r="J40" s="17"/>
      <c r="L40"/>
    </row>
    <row r="41" spans="1:14" hidden="1" x14ac:dyDescent="0.25">
      <c r="B41"/>
      <c r="E41" s="45"/>
      <c r="F41" s="45"/>
      <c r="G41" s="45"/>
      <c r="H41" s="45"/>
      <c r="I41" s="45"/>
      <c r="J41" s="27"/>
      <c r="N41" s="17"/>
    </row>
    <row r="42" spans="1:14" hidden="1" x14ac:dyDescent="0.25">
      <c r="B42"/>
      <c r="E42" s="45"/>
      <c r="F42" s="45"/>
      <c r="G42" s="45"/>
      <c r="H42" s="45"/>
      <c r="I42" s="45"/>
      <c r="L42"/>
    </row>
    <row r="43" spans="1:14" hidden="1" x14ac:dyDescent="0.25">
      <c r="B43"/>
    </row>
    <row r="44" spans="1:14" x14ac:dyDescent="0.25">
      <c r="B44"/>
    </row>
    <row r="45" spans="1:14" ht="15.75" x14ac:dyDescent="0.25">
      <c r="A45" s="65" t="s">
        <v>36</v>
      </c>
      <c r="B45" s="65"/>
      <c r="C45" s="72" t="s">
        <v>39</v>
      </c>
      <c r="D45" s="72" t="s">
        <v>40</v>
      </c>
    </row>
    <row r="46" spans="1:14" x14ac:dyDescent="0.25">
      <c r="B46"/>
      <c r="C46" s="36"/>
      <c r="D46" s="37"/>
    </row>
    <row r="47" spans="1:14" x14ac:dyDescent="0.25">
      <c r="B47"/>
      <c r="C47" s="36"/>
      <c r="D47" s="37"/>
    </row>
    <row r="48" spans="1:14" x14ac:dyDescent="0.25">
      <c r="A48" s="38" t="s">
        <v>55</v>
      </c>
      <c r="B48" s="38"/>
      <c r="C48" s="39">
        <f>SUM(C46)</f>
        <v>0</v>
      </c>
      <c r="D48" s="39">
        <f>SUM(D46)</f>
        <v>0</v>
      </c>
    </row>
    <row r="49" spans="1:18" s="47" customFormat="1" ht="19.5" thickBot="1" x14ac:dyDescent="0.35">
      <c r="A49"/>
      <c r="B49" s="17"/>
      <c r="C49"/>
      <c r="D49"/>
      <c r="E49"/>
      <c r="F49"/>
      <c r="G49"/>
      <c r="H49"/>
      <c r="I49"/>
      <c r="J49"/>
      <c r="K49"/>
      <c r="L49" s="104"/>
      <c r="M49"/>
    </row>
    <row r="50" spans="1:18" s="29" customFormat="1" ht="18.75" x14ac:dyDescent="0.3">
      <c r="A50" s="67" t="s">
        <v>56</v>
      </c>
      <c r="B50" s="68"/>
      <c r="C50" s="68"/>
      <c r="D50" s="69">
        <f>$D$1</f>
        <v>0</v>
      </c>
      <c r="E50" s="68"/>
      <c r="F50" s="70"/>
      <c r="G50" s="68"/>
      <c r="H50" s="68"/>
      <c r="I50" s="71"/>
      <c r="J50"/>
      <c r="K50"/>
    </row>
    <row r="51" spans="1:18" x14ac:dyDescent="0.25">
      <c r="A51" s="51" t="s">
        <v>57</v>
      </c>
      <c r="B51" s="52"/>
      <c r="C51" s="52" t="s">
        <v>58</v>
      </c>
      <c r="D51" s="52"/>
      <c r="E51" s="52"/>
      <c r="F51" s="52" t="s">
        <v>59</v>
      </c>
      <c r="G51" s="52"/>
      <c r="H51" s="52"/>
      <c r="I51" s="53" t="s">
        <v>60</v>
      </c>
      <c r="L51" s="105"/>
      <c r="M51" s="106"/>
      <c r="N51" s="107"/>
      <c r="O51" s="107"/>
      <c r="P51" s="107"/>
      <c r="Q51" s="107"/>
      <c r="R51" s="107"/>
    </row>
    <row r="52" spans="1:18" ht="22.5" customHeight="1" thickBot="1" x14ac:dyDescent="0.3">
      <c r="A52" s="48"/>
      <c r="B52" s="49"/>
      <c r="C52" s="50"/>
      <c r="D52" s="50"/>
      <c r="E52" s="50"/>
      <c r="F52" s="50"/>
      <c r="G52" s="50"/>
      <c r="H52" s="54"/>
      <c r="I52" s="55"/>
      <c r="L52"/>
    </row>
    <row r="53" spans="1:18" x14ac:dyDescent="0.25">
      <c r="A53" s="56"/>
      <c r="B53"/>
    </row>
    <row r="54" spans="1:18" x14ac:dyDescent="0.25">
      <c r="A54" s="73"/>
    </row>
  </sheetData>
  <pageMargins left="0.7" right="0.7" top="0.75" bottom="0.75" header="0.3" footer="0.3"/>
  <pageSetup orientation="portrait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63CAE0-C6F1-45C9-A272-BDC193E7432E}">
          <x14:formula1>
            <xm:f>Reference!$B$5:$B$6</xm:f>
          </x14:formula1>
          <xm:sqref>I14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49E4-CEDC-4E5F-8130-4B0D73E7342F}">
  <dimension ref="B4:B6"/>
  <sheetViews>
    <sheetView workbookViewId="0">
      <selection activeCell="B4" sqref="B4:B6"/>
    </sheetView>
  </sheetViews>
  <sheetFormatPr defaultRowHeight="15" x14ac:dyDescent="0.25"/>
  <cols>
    <col min="2" max="2" width="17.85546875" customWidth="1"/>
  </cols>
  <sheetData>
    <row r="4" spans="2:2" x14ac:dyDescent="0.25">
      <c r="B4" t="s">
        <v>61</v>
      </c>
    </row>
    <row r="5" spans="2:2" x14ac:dyDescent="0.25">
      <c r="B5" s="29" t="s">
        <v>62</v>
      </c>
    </row>
    <row r="6" spans="2:2" x14ac:dyDescent="0.25">
      <c r="B6" t="s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9" sqref="E19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3757-4E37-4A8E-9BF9-E10F8302B32F}">
  <dimension ref="A1"/>
  <sheetViews>
    <sheetView workbookViewId="0">
      <selection activeCell="G18" sqref="G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BUDGET TEMPLATE</vt:lpstr>
      <vt:lpstr>Unit 1 Match</vt:lpstr>
      <vt:lpstr>Reference</vt:lpstr>
      <vt:lpstr>Unit 2 Match</vt:lpstr>
      <vt:lpstr>Unit 3 Match</vt:lpstr>
      <vt:lpstr>'BUDGET TEMPLATE'!Print_Area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Naomie Macena</dc:creator>
  <cp:keywords/>
  <dc:description/>
  <cp:lastModifiedBy>Mishra, Virag</cp:lastModifiedBy>
  <cp:revision/>
  <dcterms:created xsi:type="dcterms:W3CDTF">2014-10-16T17:59:03Z</dcterms:created>
  <dcterms:modified xsi:type="dcterms:W3CDTF">2026-10-15T22:28:07Z</dcterms:modified>
  <cp:category/>
  <cp:contentStatus/>
</cp:coreProperties>
</file>